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autoCompressPictures="0"/>
  <bookViews>
    <workbookView xWindow="0" yWindow="0" windowWidth="25600" windowHeight="14820"/>
  </bookViews>
  <sheets>
    <sheet name="Bug Logbook" sheetId="4" r:id="rId1"/>
    <sheet name="Bug Metrics Summary" sheetId="3" r:id="rId2"/>
    <sheet name="Action Plan" sheetId="1" r:id="rId3"/>
    <sheet name="Severity Value Description" sheetId="2" r:id="rId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" i="3" l="1"/>
</calcChain>
</file>

<file path=xl/sharedStrings.xml><?xml version="1.0" encoding="utf-8"?>
<sst xmlns="http://schemas.openxmlformats.org/spreadsheetml/2006/main" count="109" uniqueCount="58">
  <si>
    <t>Points in Iteration</t>
  </si>
  <si>
    <t>Action Plan</t>
  </si>
  <si>
    <t>&lt; 20</t>
  </si>
  <si>
    <t>&gt;= 20</t>
  </si>
  <si>
    <t>Use planned debugging time in iteration</t>
  </si>
  <si>
    <t>Stop current development and resolve the bug immediately. Reschedule project.</t>
  </si>
  <si>
    <t>Severity in Value</t>
  </si>
  <si>
    <t>Bug Description</t>
  </si>
  <si>
    <t>Low Impact (1 point)</t>
  </si>
  <si>
    <t>High Impact (5 points)</t>
  </si>
  <si>
    <t>Critical Impact (10 points)</t>
  </si>
  <si>
    <t>Typo errors, basic UI alignment issues.</t>
  </si>
  <si>
    <t>Some non-critical functionalities not working as expected. Overall application still runs.</t>
  </si>
  <si>
    <t>Entire system is down or unusable. Team to stop and fix bugs before continuing</t>
  </si>
  <si>
    <t/>
  </si>
  <si>
    <t>ID</t>
  </si>
  <si>
    <t>Impact</t>
  </si>
  <si>
    <t>Score</t>
  </si>
  <si>
    <t>Date Found</t>
  </si>
  <si>
    <t>Found By</t>
  </si>
  <si>
    <t>Source</t>
  </si>
  <si>
    <t>Server</t>
  </si>
  <si>
    <t>Resolved?</t>
  </si>
  <si>
    <t>Resolved By</t>
  </si>
  <si>
    <t>Date Resolved</t>
  </si>
  <si>
    <t>Solution</t>
  </si>
  <si>
    <t>Iteration</t>
  </si>
  <si>
    <t>Low</t>
  </si>
  <si>
    <t>High</t>
  </si>
  <si>
    <t>Critical</t>
  </si>
  <si>
    <t>Total Score</t>
  </si>
  <si>
    <t>Action Taken</t>
  </si>
  <si>
    <t>Bug Metrics (Iteration 3)</t>
  </si>
  <si>
    <t>Li Dan, Yining</t>
  </si>
  <si>
    <t>Localhost</t>
  </si>
  <si>
    <t>No error message is displayed when user keys the wrong email address to send reset password URL to. Login page is redirected, which shouldn't be the case.</t>
  </si>
  <si>
    <t>Reset password page is not being redirected to login page after user has inputted new password and clicked on 'Continue' button.</t>
  </si>
  <si>
    <t>login.scala</t>
  </si>
  <si>
    <t>New password was not successfully resetted after user clicks on 'Continue' in reset password page</t>
  </si>
  <si>
    <t>No error message is displayed when user keys in different confirmation password from the new password in reset password paage after user clicks on 'Continue'</t>
  </si>
  <si>
    <t>There is no auto-generation of password when creating a new staff</t>
  </si>
  <si>
    <t>A new user is created even though the email address is incorrect</t>
  </si>
  <si>
    <t>Unable to edit an existing user</t>
  </si>
  <si>
    <t>adminAccount.scala</t>
  </si>
  <si>
    <t>Stop current development and resolve the bug immediately. Use up buffer days to debug.</t>
  </si>
  <si>
    <t>No clickable link is provided in the email when user forgets password. User has to manually copy and paste the given link in web browser</t>
  </si>
  <si>
    <t>adminStaff.scala</t>
  </si>
  <si>
    <t>Yes</t>
  </si>
  <si>
    <t>Annan</t>
  </si>
  <si>
    <t xml:space="preserve">Added front-end input validation to check email address in "adminAccount.js".                                                                       </t>
  </si>
  <si>
    <t>Annan, Yining</t>
  </si>
  <si>
    <t>Added updateAccount function into "editAccount.js" to allow user to edit user information.</t>
  </si>
  <si>
    <t>Changed in "resetPassword.js" to prevent the redirecting of page.</t>
  </si>
  <si>
    <t>Inserted error message in "login.js" for when user inputs wrong email address.</t>
  </si>
  <si>
    <t>Changed in "resetPassword.js" to store the new password in database.</t>
  </si>
  <si>
    <t>Added new input validation in "resetPassword.js" to display error message when user inputs wrong confirmation password from the new password.</t>
  </si>
  <si>
    <t>Added new function into "AccountManager.java" to auto-generate password.</t>
  </si>
  <si>
    <t>Change method in "Application.java" to provide clickable link in email sending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</si>
</sst>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/mmm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2"/>
      <color theme="0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sz val="16"/>
      <color theme="0"/>
      <name val="Cambria"/>
      <family val="1"/>
      <scheme val="major"/>
    </font>
    <font>
      <b/>
      <sz val="11"/>
      <color theme="0"/>
      <name val="Cambria"/>
      <family val="1"/>
      <scheme val="major"/>
    </font>
    <font>
      <sz val="12"/>
      <name val="Cambria"/>
      <family val="1"/>
      <scheme val="maj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CA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</borders>
  <cellStyleXfs count="23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2" borderId="0" xfId="0" applyFont="1" applyFill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3B3B"/>
        </patternFill>
      </fill>
    </dxf>
    <dxf>
      <fill>
        <patternFill>
          <bgColor rgb="FFFFCA21"/>
        </patternFill>
      </fill>
    </dxf>
    <dxf>
      <fill>
        <patternFill>
          <bgColor rgb="FFCCFF99"/>
        </patternFill>
      </fill>
    </dxf>
    <dxf>
      <fill>
        <patternFill>
          <bgColor rgb="FFFF3B3B"/>
        </patternFill>
      </fill>
    </dxf>
    <dxf>
      <fill>
        <patternFill>
          <bgColor rgb="FFFFCA21"/>
        </patternFill>
      </fill>
    </dxf>
    <dxf>
      <fill>
        <patternFill>
          <bgColor rgb="FFCCFF99"/>
        </patternFill>
      </fill>
    </dxf>
    <dxf>
      <fill>
        <patternFill>
          <bgColor rgb="FFFF3B3B"/>
        </patternFill>
      </fill>
    </dxf>
    <dxf>
      <fill>
        <patternFill>
          <bgColor rgb="FFFFCA21"/>
        </patternFill>
      </fill>
    </dxf>
    <dxf>
      <fill>
        <patternFill>
          <bgColor rgb="FFCCFF99"/>
        </patternFill>
      </fill>
    </dxf>
    <dxf>
      <fill>
        <patternFill>
          <bgColor rgb="FFFF3B3B"/>
        </patternFill>
      </fill>
    </dxf>
    <dxf>
      <fill>
        <patternFill>
          <bgColor rgb="FFFFCA21"/>
        </patternFill>
      </fill>
    </dxf>
    <dxf>
      <fill>
        <patternFill>
          <bgColor rgb="FFCC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3B3B"/>
        </patternFill>
      </fill>
    </dxf>
    <dxf>
      <fill>
        <patternFill>
          <bgColor rgb="FFFFCA21"/>
        </patternFill>
      </fill>
    </dxf>
    <dxf>
      <fill>
        <patternFill>
          <bgColor rgb="FFCCFF99"/>
        </patternFill>
      </fill>
    </dxf>
  </dxfs>
  <tableStyles count="0" defaultTableStyle="TableStyleMedium2" defaultPivotStyle="PivotStyleLight16"/>
  <colors>
    <mruColors>
      <color rgb="FFFF3B3B"/>
      <color rgb="FFFFCA21"/>
      <color rgb="FFCCFF99"/>
      <color rgb="FFCCFFC2"/>
      <color rgb="FFFFA74F"/>
      <color rgb="FFFF292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topLeftCell="H1" zoomScale="125" zoomScaleNormal="125" zoomScalePageLayoutView="125" workbookViewId="0">
      <selection activeCell="L10" sqref="L10"/>
    </sheetView>
  </sheetViews>
  <sheetFormatPr baseColWidth="10" defaultColWidth="8.83203125" defaultRowHeight="13" x14ac:dyDescent="0"/>
  <cols>
    <col min="1" max="1" width="3.5" style="20" bestFit="1" customWidth="1"/>
    <col min="2" max="2" width="39" style="24" customWidth="1"/>
    <col min="3" max="3" width="11.6640625" style="20" customWidth="1"/>
    <col min="4" max="4" width="9" style="20" customWidth="1"/>
    <col min="5" max="5" width="12.5" style="26" bestFit="1" customWidth="1"/>
    <col min="6" max="6" width="16.5" style="20" customWidth="1"/>
    <col min="7" max="7" width="19.1640625" style="22" bestFit="1" customWidth="1"/>
    <col min="8" max="8" width="11.6640625" style="20" customWidth="1"/>
    <col min="9" max="9" width="11.5" style="20" bestFit="1" customWidth="1"/>
    <col min="10" max="10" width="22.5" style="20" customWidth="1"/>
    <col min="11" max="11" width="15.5" style="20" bestFit="1" customWidth="1"/>
    <col min="12" max="12" width="88.83203125" style="22" customWidth="1"/>
    <col min="13" max="16384" width="8.83203125" style="7"/>
  </cols>
  <sheetData>
    <row r="1" spans="1:12" ht="24" customHeight="1">
      <c r="A1" s="29" t="s">
        <v>32</v>
      </c>
      <c r="B1" s="29" t="s">
        <v>14</v>
      </c>
      <c r="C1" s="29" t="s">
        <v>14</v>
      </c>
      <c r="D1" s="29" t="s">
        <v>14</v>
      </c>
      <c r="E1" s="29" t="s">
        <v>14</v>
      </c>
      <c r="F1" s="29" t="s">
        <v>14</v>
      </c>
      <c r="G1" s="29" t="s">
        <v>14</v>
      </c>
      <c r="H1" s="29" t="s">
        <v>14</v>
      </c>
      <c r="I1" s="29" t="s">
        <v>14</v>
      </c>
      <c r="J1" s="29" t="s">
        <v>14</v>
      </c>
      <c r="K1" s="29" t="s">
        <v>14</v>
      </c>
      <c r="L1" s="29" t="s">
        <v>14</v>
      </c>
    </row>
    <row r="2" spans="1:12" ht="20.25" customHeight="1">
      <c r="A2" s="30" t="s">
        <v>15</v>
      </c>
      <c r="B2" s="30" t="s">
        <v>7</v>
      </c>
      <c r="C2" s="31" t="s">
        <v>16</v>
      </c>
      <c r="D2" s="30" t="s">
        <v>17</v>
      </c>
      <c r="E2" s="32" t="s">
        <v>18</v>
      </c>
      <c r="F2" s="30" t="s">
        <v>19</v>
      </c>
      <c r="G2" s="30" t="s">
        <v>20</v>
      </c>
      <c r="H2" s="30" t="s">
        <v>21</v>
      </c>
      <c r="I2" s="30" t="s">
        <v>22</v>
      </c>
      <c r="J2" s="30" t="s">
        <v>23</v>
      </c>
      <c r="K2" s="30" t="s">
        <v>24</v>
      </c>
      <c r="L2" s="30" t="s">
        <v>25</v>
      </c>
    </row>
    <row r="3" spans="1:12" ht="39">
      <c r="A3" s="19">
        <v>1</v>
      </c>
      <c r="B3" s="23" t="s">
        <v>36</v>
      </c>
      <c r="C3" s="19" t="s">
        <v>27</v>
      </c>
      <c r="D3" s="19">
        <v>1</v>
      </c>
      <c r="E3" s="25">
        <v>41904</v>
      </c>
      <c r="F3" s="19" t="s">
        <v>33</v>
      </c>
      <c r="G3" s="21" t="s">
        <v>37</v>
      </c>
      <c r="H3" s="19" t="s">
        <v>34</v>
      </c>
      <c r="I3" s="19" t="s">
        <v>47</v>
      </c>
      <c r="J3" s="19" t="s">
        <v>48</v>
      </c>
      <c r="K3" s="33">
        <v>41905</v>
      </c>
      <c r="L3" s="27" t="s">
        <v>52</v>
      </c>
    </row>
    <row r="4" spans="1:12" ht="52">
      <c r="A4" s="19">
        <v>2</v>
      </c>
      <c r="B4" s="23" t="s">
        <v>35</v>
      </c>
      <c r="C4" s="19" t="s">
        <v>27</v>
      </c>
      <c r="D4" s="19">
        <v>1</v>
      </c>
      <c r="E4" s="25">
        <v>41904</v>
      </c>
      <c r="F4" s="19" t="s">
        <v>33</v>
      </c>
      <c r="G4" s="21" t="s">
        <v>37</v>
      </c>
      <c r="H4" s="19" t="s">
        <v>34</v>
      </c>
      <c r="I4" s="19" t="s">
        <v>47</v>
      </c>
      <c r="J4" s="19" t="s">
        <v>48</v>
      </c>
      <c r="K4" s="33">
        <v>41905</v>
      </c>
      <c r="L4" s="27" t="s">
        <v>53</v>
      </c>
    </row>
    <row r="5" spans="1:12" ht="39">
      <c r="A5" s="19">
        <v>3</v>
      </c>
      <c r="B5" s="23" t="s">
        <v>38</v>
      </c>
      <c r="C5" s="19" t="s">
        <v>28</v>
      </c>
      <c r="D5" s="19">
        <v>5</v>
      </c>
      <c r="E5" s="25">
        <v>41904</v>
      </c>
      <c r="F5" s="19" t="s">
        <v>33</v>
      </c>
      <c r="G5" s="21" t="s">
        <v>37</v>
      </c>
      <c r="H5" s="19" t="s">
        <v>34</v>
      </c>
      <c r="I5" s="19" t="s">
        <v>47</v>
      </c>
      <c r="J5" s="19" t="s">
        <v>48</v>
      </c>
      <c r="K5" s="33">
        <v>41905</v>
      </c>
      <c r="L5" s="27" t="s">
        <v>54</v>
      </c>
    </row>
    <row r="6" spans="1:12" ht="52">
      <c r="A6" s="19">
        <v>4</v>
      </c>
      <c r="B6" s="23" t="s">
        <v>39</v>
      </c>
      <c r="C6" s="19" t="s">
        <v>27</v>
      </c>
      <c r="D6" s="19">
        <v>1</v>
      </c>
      <c r="E6" s="25">
        <v>41904</v>
      </c>
      <c r="F6" s="19" t="s">
        <v>33</v>
      </c>
      <c r="G6" s="21" t="s">
        <v>37</v>
      </c>
      <c r="H6" s="19" t="s">
        <v>34</v>
      </c>
      <c r="I6" s="19" t="s">
        <v>47</v>
      </c>
      <c r="J6" s="19" t="s">
        <v>48</v>
      </c>
      <c r="K6" s="33">
        <v>41905</v>
      </c>
      <c r="L6" s="27" t="s">
        <v>55</v>
      </c>
    </row>
    <row r="7" spans="1:12" ht="26">
      <c r="A7" s="19">
        <v>5</v>
      </c>
      <c r="B7" s="23" t="s">
        <v>40</v>
      </c>
      <c r="C7" s="19" t="s">
        <v>28</v>
      </c>
      <c r="D7" s="19">
        <v>5</v>
      </c>
      <c r="E7" s="25">
        <v>41904</v>
      </c>
      <c r="F7" s="19" t="s">
        <v>33</v>
      </c>
      <c r="G7" s="21" t="s">
        <v>46</v>
      </c>
      <c r="H7" s="19" t="s">
        <v>34</v>
      </c>
      <c r="I7" s="19" t="s">
        <v>47</v>
      </c>
      <c r="J7" s="19" t="s">
        <v>50</v>
      </c>
      <c r="K7" s="33">
        <v>41905</v>
      </c>
      <c r="L7" s="27" t="s">
        <v>56</v>
      </c>
    </row>
    <row r="8" spans="1:12" ht="26">
      <c r="A8" s="19">
        <v>6</v>
      </c>
      <c r="B8" s="23" t="s">
        <v>41</v>
      </c>
      <c r="C8" s="19" t="s">
        <v>28</v>
      </c>
      <c r="D8" s="19">
        <v>5</v>
      </c>
      <c r="E8" s="25">
        <v>41904</v>
      </c>
      <c r="F8" s="19" t="s">
        <v>33</v>
      </c>
      <c r="G8" s="21" t="s">
        <v>43</v>
      </c>
      <c r="H8" s="19" t="s">
        <v>34</v>
      </c>
      <c r="I8" s="28" t="s">
        <v>47</v>
      </c>
      <c r="J8" s="19" t="s">
        <v>48</v>
      </c>
      <c r="K8" s="33">
        <v>41905</v>
      </c>
      <c r="L8" s="27" t="s">
        <v>49</v>
      </c>
    </row>
    <row r="9" spans="1:12">
      <c r="A9" s="19">
        <v>7</v>
      </c>
      <c r="B9" s="23" t="s">
        <v>42</v>
      </c>
      <c r="C9" s="19" t="s">
        <v>29</v>
      </c>
      <c r="D9" s="19">
        <v>10</v>
      </c>
      <c r="E9" s="25">
        <v>41904</v>
      </c>
      <c r="F9" s="19" t="s">
        <v>33</v>
      </c>
      <c r="G9" s="21" t="s">
        <v>43</v>
      </c>
      <c r="H9" s="19" t="s">
        <v>34</v>
      </c>
      <c r="I9" s="28" t="s">
        <v>47</v>
      </c>
      <c r="J9" s="19" t="s">
        <v>48</v>
      </c>
      <c r="K9" s="33">
        <v>41905</v>
      </c>
      <c r="L9" s="27" t="s">
        <v>51</v>
      </c>
    </row>
    <row r="10" spans="1:12" ht="39">
      <c r="A10" s="19">
        <v>8</v>
      </c>
      <c r="B10" s="23" t="s">
        <v>45</v>
      </c>
      <c r="C10" s="19" t="s">
        <v>27</v>
      </c>
      <c r="D10" s="19">
        <v>1</v>
      </c>
      <c r="E10" s="25">
        <v>41904</v>
      </c>
      <c r="F10" s="19" t="s">
        <v>33</v>
      </c>
      <c r="G10" s="21" t="s">
        <v>43</v>
      </c>
      <c r="H10" s="19" t="s">
        <v>34</v>
      </c>
      <c r="I10" s="28" t="s">
        <v>47</v>
      </c>
      <c r="J10" s="19" t="s">
        <v>48</v>
      </c>
      <c r="K10" s="33">
        <v>41905</v>
      </c>
      <c r="L10" s="21" t="s">
        <v>57</v>
      </c>
    </row>
  </sheetData>
  <mergeCells count="1">
    <mergeCell ref="A1:L1"/>
  </mergeCells>
  <conditionalFormatting sqref="C1:C5 C10:C1048576">
    <cfRule type="containsText" dxfId="38" priority="50" operator="containsText" text="Low">
      <formula>NOT(ISERROR(SEARCH("Low",C1)))</formula>
    </cfRule>
    <cfRule type="containsText" dxfId="37" priority="51" operator="containsText" text="High">
      <formula>NOT(ISERROR(SEARCH("High",C1)))</formula>
    </cfRule>
    <cfRule type="containsText" dxfId="36" priority="52" operator="containsText" text="Critical">
      <formula>NOT(ISERROR(SEARCH("Critical",C1)))</formula>
    </cfRule>
  </conditionalFormatting>
  <conditionalFormatting sqref="I1:I3 I11:I1048576">
    <cfRule type="cellIs" dxfId="35" priority="48" operator="equal">
      <formula>"Yes"</formula>
    </cfRule>
    <cfRule type="cellIs" dxfId="34" priority="49" operator="equal">
      <formula>"No"</formula>
    </cfRule>
  </conditionalFormatting>
  <conditionalFormatting sqref="I4">
    <cfRule type="cellIs" dxfId="33" priority="46" operator="equal">
      <formula>"Yes"</formula>
    </cfRule>
    <cfRule type="cellIs" dxfId="32" priority="47" operator="equal">
      <formula>"No"</formula>
    </cfRule>
  </conditionalFormatting>
  <conditionalFormatting sqref="C6">
    <cfRule type="containsText" dxfId="31" priority="41" operator="containsText" text="Low">
      <formula>NOT(ISERROR(SEARCH("Low",C6)))</formula>
    </cfRule>
    <cfRule type="containsText" dxfId="30" priority="42" operator="containsText" text="High">
      <formula>NOT(ISERROR(SEARCH("High",C6)))</formula>
    </cfRule>
    <cfRule type="containsText" dxfId="29" priority="43" operator="containsText" text="Critical">
      <formula>NOT(ISERROR(SEARCH("Critical",C6)))</formula>
    </cfRule>
  </conditionalFormatting>
  <conditionalFormatting sqref="C7">
    <cfRule type="containsText" dxfId="28" priority="36" operator="containsText" text="Low">
      <formula>NOT(ISERROR(SEARCH("Low",C7)))</formula>
    </cfRule>
    <cfRule type="containsText" dxfId="27" priority="37" operator="containsText" text="High">
      <formula>NOT(ISERROR(SEARCH("High",C7)))</formula>
    </cfRule>
    <cfRule type="containsText" dxfId="26" priority="38" operator="containsText" text="Critical">
      <formula>NOT(ISERROR(SEARCH("Critical",C7)))</formula>
    </cfRule>
  </conditionalFormatting>
  <conditionalFormatting sqref="C9">
    <cfRule type="containsText" dxfId="25" priority="24" operator="containsText" text="Low">
      <formula>NOT(ISERROR(SEARCH("Low",C9)))</formula>
    </cfRule>
    <cfRule type="containsText" dxfId="24" priority="25" operator="containsText" text="High">
      <formula>NOT(ISERROR(SEARCH("High",C9)))</formula>
    </cfRule>
    <cfRule type="containsText" dxfId="23" priority="26" operator="containsText" text="Critical">
      <formula>NOT(ISERROR(SEARCH("Critical",C9)))</formula>
    </cfRule>
  </conditionalFormatting>
  <conditionalFormatting sqref="C8">
    <cfRule type="containsText" dxfId="22" priority="19" operator="containsText" text="Low">
      <formula>NOT(ISERROR(SEARCH("Low",C8)))</formula>
    </cfRule>
    <cfRule type="containsText" dxfId="21" priority="20" operator="containsText" text="High">
      <formula>NOT(ISERROR(SEARCH("High",C8)))</formula>
    </cfRule>
    <cfRule type="containsText" dxfId="20" priority="21" operator="containsText" text="Critical">
      <formula>NOT(ISERROR(SEARCH("Critical",C8)))</formula>
    </cfRule>
  </conditionalFormatting>
  <conditionalFormatting sqref="I5">
    <cfRule type="cellIs" dxfId="17" priority="13" operator="equal">
      <formula>"Yes"</formula>
    </cfRule>
    <cfRule type="cellIs" dxfId="16" priority="14" operator="equal">
      <formula>"No"</formula>
    </cfRule>
  </conditionalFormatting>
  <conditionalFormatting sqref="I6">
    <cfRule type="cellIs" dxfId="15" priority="11" operator="equal">
      <formula>"Yes"</formula>
    </cfRule>
    <cfRule type="cellIs" dxfId="14" priority="12" operator="equal">
      <formula>"No"</formula>
    </cfRule>
  </conditionalFormatting>
  <conditionalFormatting sqref="I7">
    <cfRule type="cellIs" dxfId="13" priority="9" operator="equal">
      <formula>"Yes"</formula>
    </cfRule>
    <cfRule type="cellIs" dxfId="12" priority="10" operator="equal">
      <formula>"No"</formula>
    </cfRule>
  </conditionalFormatting>
  <conditionalFormatting sqref="I8">
    <cfRule type="cellIs" dxfId="11" priority="7" operator="equal">
      <formula>"Yes"</formula>
    </cfRule>
    <cfRule type="cellIs" dxfId="10" priority="8" operator="equal">
      <formula>"No"</formula>
    </cfRule>
  </conditionalFormatting>
  <conditionalFormatting sqref="I9">
    <cfRule type="cellIs" dxfId="7" priority="3" operator="equal">
      <formula>"Yes"</formula>
    </cfRule>
    <cfRule type="cellIs" dxfId="6" priority="4" operator="equal">
      <formula>"No"</formula>
    </cfRule>
  </conditionalFormatting>
  <conditionalFormatting sqref="I10">
    <cfRule type="cellIs" dxfId="3" priority="1" operator="equal">
      <formula>"Yes"</formula>
    </cfRule>
    <cfRule type="cellIs" dxfId="2" priority="2" operator="equal">
      <formula>"No"</formula>
    </cfRule>
  </conditionalFormatting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K29"/>
  <sheetViews>
    <sheetView workbookViewId="0">
      <selection activeCell="I15" sqref="I15"/>
    </sheetView>
  </sheetViews>
  <sheetFormatPr baseColWidth="10" defaultColWidth="8.83203125" defaultRowHeight="15" x14ac:dyDescent="0"/>
  <cols>
    <col min="1" max="5" width="8.83203125" style="18"/>
    <col min="6" max="6" width="12.83203125" style="18" customWidth="1"/>
    <col min="7" max="9" width="11.6640625" style="18" customWidth="1"/>
    <col min="10" max="10" width="15.33203125" style="18" customWidth="1"/>
    <col min="11" max="11" width="91.83203125" style="18" bestFit="1" customWidth="1"/>
    <col min="12" max="16384" width="8.83203125" style="18"/>
  </cols>
  <sheetData>
    <row r="2" spans="6:11" s="15" customFormat="1">
      <c r="F2" s="13" t="s">
        <v>26</v>
      </c>
      <c r="G2" s="17" t="s">
        <v>27</v>
      </c>
      <c r="H2" s="17" t="s">
        <v>28</v>
      </c>
      <c r="I2" s="17" t="s">
        <v>29</v>
      </c>
      <c r="J2" s="17" t="s">
        <v>30</v>
      </c>
      <c r="K2" s="16" t="s">
        <v>31</v>
      </c>
    </row>
    <row r="3" spans="6:11" s="15" customFormat="1">
      <c r="F3" s="12">
        <v>3</v>
      </c>
      <c r="G3" s="14">
        <v>4</v>
      </c>
      <c r="H3" s="14">
        <v>3</v>
      </c>
      <c r="I3" s="14">
        <v>1</v>
      </c>
      <c r="J3" s="14">
        <f>(G3)+(H3*5)+(I3*10)</f>
        <v>29</v>
      </c>
      <c r="K3" s="14" t="s">
        <v>44</v>
      </c>
    </row>
    <row r="4" spans="6:11" s="15" customFormat="1"/>
    <row r="5" spans="6:11" s="15" customFormat="1"/>
    <row r="6" spans="6:11" s="15" customFormat="1"/>
    <row r="7" spans="6:11" s="15" customFormat="1"/>
    <row r="8" spans="6:11" s="15" customFormat="1"/>
    <row r="9" spans="6:11" s="15" customFormat="1"/>
    <row r="10" spans="6:11" s="15" customFormat="1"/>
    <row r="11" spans="6:11" s="15" customFormat="1"/>
    <row r="12" spans="6:11" s="15" customFormat="1"/>
    <row r="13" spans="6:11" s="15" customFormat="1"/>
    <row r="14" spans="6:11" s="15" customFormat="1"/>
    <row r="15" spans="6:11" s="15" customFormat="1"/>
    <row r="16" spans="6:11" s="15" customFormat="1"/>
    <row r="17" s="15" customFormat="1"/>
    <row r="18" s="15" customFormat="1"/>
    <row r="19" s="15" customFormat="1"/>
    <row r="20" s="15" customFormat="1"/>
    <row r="21" s="15" customFormat="1"/>
    <row r="22" s="15" customFormat="1"/>
    <row r="23" s="15" customFormat="1"/>
    <row r="24" s="15" customFormat="1"/>
    <row r="25" s="15" customFormat="1"/>
    <row r="26" s="15" customFormat="1"/>
    <row r="27" s="15" customFormat="1"/>
    <row r="28" s="15" customFormat="1"/>
    <row r="29" s="15" customFormat="1"/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G9"/>
  <sheetViews>
    <sheetView workbookViewId="0">
      <selection activeCell="G9" sqref="G9"/>
    </sheetView>
  </sheetViews>
  <sheetFormatPr baseColWidth="10" defaultColWidth="8.83203125" defaultRowHeight="14" x14ac:dyDescent="0"/>
  <cols>
    <col min="1" max="5" width="8.83203125" style="1"/>
    <col min="6" max="6" width="21" style="1" bestFit="1" customWidth="1"/>
    <col min="7" max="7" width="69" style="1" customWidth="1"/>
    <col min="8" max="16384" width="8.83203125" style="1"/>
  </cols>
  <sheetData>
    <row r="7" spans="6:7" ht="19.5" customHeight="1">
      <c r="F7" s="8" t="s">
        <v>0</v>
      </c>
      <c r="G7" s="9" t="s">
        <v>1</v>
      </c>
    </row>
    <row r="8" spans="6:7" s="2" customFormat="1" ht="39.75" customHeight="1">
      <c r="F8" s="3" t="s">
        <v>2</v>
      </c>
      <c r="G8" s="3" t="s">
        <v>4</v>
      </c>
    </row>
    <row r="9" spans="6:7" s="2" customFormat="1" ht="39.75" customHeight="1">
      <c r="F9" s="4" t="s">
        <v>3</v>
      </c>
      <c r="G9" s="6" t="s">
        <v>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G10"/>
  <sheetViews>
    <sheetView workbookViewId="0">
      <selection activeCell="F10" sqref="F10"/>
    </sheetView>
  </sheetViews>
  <sheetFormatPr baseColWidth="10" defaultColWidth="8.83203125" defaultRowHeight="14" x14ac:dyDescent="0"/>
  <cols>
    <col min="1" max="5" width="8.83203125" style="1"/>
    <col min="6" max="6" width="27.5" style="1" bestFit="1" customWidth="1"/>
    <col min="7" max="7" width="70.5" style="1" customWidth="1"/>
    <col min="8" max="16384" width="8.83203125" style="1"/>
  </cols>
  <sheetData>
    <row r="7" spans="6:7" s="2" customFormat="1" ht="20" customHeight="1">
      <c r="F7" s="8" t="s">
        <v>6</v>
      </c>
      <c r="G7" s="9" t="s">
        <v>7</v>
      </c>
    </row>
    <row r="8" spans="6:7" s="2" customFormat="1" ht="35" customHeight="1">
      <c r="F8" s="3" t="s">
        <v>8</v>
      </c>
      <c r="G8" s="5" t="s">
        <v>11</v>
      </c>
    </row>
    <row r="9" spans="6:7" s="2" customFormat="1" ht="35" customHeight="1">
      <c r="F9" s="11" t="s">
        <v>9</v>
      </c>
      <c r="G9" s="10" t="s">
        <v>12</v>
      </c>
    </row>
    <row r="10" spans="6:7" s="2" customFormat="1" ht="35" customHeight="1">
      <c r="F10" s="4" t="s">
        <v>10</v>
      </c>
      <c r="G10" s="6" t="s">
        <v>13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Bug Logbook</vt:lpstr>
      <vt:lpstr>Bug Metrics Summary</vt:lpstr>
      <vt:lpstr>Action Plan</vt:lpstr>
      <vt:lpstr>Severity Value Description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</dc:creator>
  <cp:lastModifiedBy>user</cp:lastModifiedBy>
  <dcterms:created xsi:type="dcterms:W3CDTF">2014-06-03T05:40:44Z</dcterms:created>
  <dcterms:modified xsi:type="dcterms:W3CDTF">2014-10-15T07:29:27Z</dcterms:modified>
</cp:coreProperties>
</file>